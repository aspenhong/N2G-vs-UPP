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共用雲端硬碟\科發組共用\5. 署內跨單位任務型分組\AI ML技術應用小組\2025_114\AI應用發展工作與資源規劃\第2次進度報告\"/>
    </mc:Choice>
  </mc:AlternateContent>
  <xr:revisionPtr revIDLastSave="0" documentId="13_ncr:1_{D65430A0-6F96-4841-937C-AFEABB49AB50}" xr6:coauthVersionLast="36" xr6:coauthVersionMax="36" xr10:uidLastSave="{00000000-0000-0000-0000-000000000000}"/>
  <bookViews>
    <workbookView xWindow="0" yWindow="0" windowWidth="28800" windowHeight="12180" activeTab="3" xr2:uid="{D23389F0-4EEB-495D-A43D-7916883AB0F0}"/>
  </bookViews>
  <sheets>
    <sheet name="工作表1" sheetId="1" r:id="rId1"/>
    <sheet name="工作表2" sheetId="2" r:id="rId2"/>
    <sheet name="工作表3" sheetId="3" r:id="rId3"/>
    <sheet name="工作表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2" i="4"/>
  <c r="H3" i="4"/>
  <c r="H4" i="4"/>
  <c r="H5" i="4"/>
  <c r="H6" i="4"/>
  <c r="H7" i="4"/>
  <c r="H8" i="4"/>
  <c r="H9" i="4"/>
  <c r="H10" i="4"/>
  <c r="H2" i="4"/>
  <c r="E3" i="4" l="1"/>
  <c r="E4" i="4"/>
  <c r="E5" i="4"/>
  <c r="E6" i="4"/>
  <c r="E7" i="4"/>
  <c r="E8" i="4"/>
  <c r="E9" i="4"/>
  <c r="E10" i="4"/>
  <c r="E2" i="4"/>
  <c r="C3" i="4"/>
  <c r="C4" i="4"/>
  <c r="C5" i="4"/>
  <c r="C6" i="4"/>
  <c r="C7" i="4"/>
  <c r="C8" i="4"/>
  <c r="C9" i="4"/>
  <c r="C10" i="4"/>
  <c r="C2" i="4"/>
  <c r="D12" i="4"/>
  <c r="F7" i="2"/>
  <c r="F8" i="2"/>
  <c r="F9" i="2"/>
  <c r="F10" i="2"/>
  <c r="F4" i="2"/>
  <c r="F5" i="2"/>
  <c r="F6" i="2"/>
  <c r="F3" i="2"/>
</calcChain>
</file>

<file path=xl/sharedStrings.xml><?xml version="1.0" encoding="utf-8"?>
<sst xmlns="http://schemas.openxmlformats.org/spreadsheetml/2006/main" count="71" uniqueCount="39">
  <si>
    <t>分組</t>
    <phoneticPr fontId="1" type="noConversion"/>
  </si>
  <si>
    <r>
      <t>114</t>
    </r>
    <r>
      <rPr>
        <sz val="12"/>
        <color rgb="FF000000"/>
        <rFont val="新細明體"/>
        <family val="1"/>
        <charset val="136"/>
        <scheme val="minor"/>
      </rPr>
      <t>總額</t>
    </r>
    <phoneticPr fontId="1" type="noConversion"/>
  </si>
  <si>
    <t>[1]</t>
    <phoneticPr fontId="1" type="noConversion"/>
  </si>
  <si>
    <t>[2]</t>
    <phoneticPr fontId="1" type="noConversion"/>
  </si>
  <si>
    <t>[3]</t>
    <phoneticPr fontId="1" type="noConversion"/>
  </si>
  <si>
    <t>[4]</t>
    <phoneticPr fontId="1" type="noConversion"/>
  </si>
  <si>
    <t>[5]</t>
    <phoneticPr fontId="1" type="noConversion"/>
  </si>
  <si>
    <t>[6]</t>
    <phoneticPr fontId="1" type="noConversion"/>
  </si>
  <si>
    <t>[7]</t>
    <phoneticPr fontId="1" type="noConversion"/>
  </si>
  <si>
    <t>[8]</t>
    <phoneticPr fontId="1" type="noConversion"/>
  </si>
  <si>
    <t>[9]</t>
    <phoneticPr fontId="1" type="noConversion"/>
  </si>
  <si>
    <r>
      <t>115</t>
    </r>
    <r>
      <rPr>
        <sz val="12"/>
        <color rgb="FF000000"/>
        <rFont val="新細明體"/>
        <family val="1"/>
        <charset val="136"/>
        <scheme val="minor"/>
      </rPr>
      <t>總額</t>
    </r>
    <phoneticPr fontId="1" type="noConversion"/>
  </si>
  <si>
    <t>科技發展組</t>
  </si>
  <si>
    <t>海象氣候組</t>
  </si>
  <si>
    <t>數值資訊組</t>
  </si>
  <si>
    <t>綜合規劃組</t>
  </si>
  <si>
    <t>大氣觀測組</t>
  </si>
  <si>
    <t>海氣遙測組</t>
  </si>
  <si>
    <t>預報中心</t>
  </si>
  <si>
    <t>地震中心</t>
  </si>
  <si>
    <t>[2]</t>
  </si>
  <si>
    <t>[3]</t>
  </si>
  <si>
    <t>[4]</t>
  </si>
  <si>
    <t>[5]</t>
  </si>
  <si>
    <t>[6]</t>
  </si>
  <si>
    <t>[7]</t>
  </si>
  <si>
    <t>[8]</t>
  </si>
  <si>
    <t>[9]</t>
  </si>
  <si>
    <t>AI應用技術發展</t>
    <phoneticPr fontId="1" type="noConversion"/>
  </si>
  <si>
    <t>軟硬體基礎建設</t>
    <phoneticPr fontId="1" type="noConversion"/>
  </si>
  <si>
    <t>規劃由HPC計畫支</t>
    <phoneticPr fontId="1" type="noConversion"/>
  </si>
  <si>
    <t>已有其他計畫來源</t>
    <phoneticPr fontId="1" type="noConversion"/>
  </si>
  <si>
    <t>編制內人力</t>
  </si>
  <si>
    <t>國內計畫人力
(自行研發)</t>
  </si>
  <si>
    <t>國內計畫人力
(委外)</t>
  </si>
  <si>
    <t>國外合作人力</t>
  </si>
  <si>
    <t>總經費 (千元)</t>
  </si>
  <si>
    <t>預估投入教育訓練費用</t>
  </si>
  <si>
    <t>扣除教育訓練費用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</si>
</sst>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Arial"/>
      <family val="2"/>
    </font>
    <font>
      <b/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76" fontId="0" fillId="0" borderId="0" xfId="0" applyNumberForma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0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colors>
    <mruColors>
      <color rgb="FFB88193"/>
      <color rgb="FFBEDCA2"/>
      <color rgb="FFF7E6AF"/>
      <color rgb="FFF0D2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2-3116-4646-B08F-17CAB5C54D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3116-4646-B08F-17CAB5C54D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4-3116-4646-B08F-17CAB5C54D1C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3116-4646-B08F-17CAB5C54D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3116-4646-B08F-17CAB5C54D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6-3116-4646-B08F-17CAB5C54D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defRPr>
                </a:pPr>
                <a:endParaRPr lang="zh-TW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工作表1!$B$4:$I$4</c:f>
              <c:strCache>
                <c:ptCount val="8"/>
                <c:pt idx="0">
                  <c:v>科技發展組</c:v>
                </c:pt>
                <c:pt idx="1">
                  <c:v>海象氣候組</c:v>
                </c:pt>
                <c:pt idx="2">
                  <c:v>數值資訊組</c:v>
                </c:pt>
                <c:pt idx="3">
                  <c:v>綜合規劃組</c:v>
                </c:pt>
                <c:pt idx="4">
                  <c:v>大氣觀測組</c:v>
                </c:pt>
                <c:pt idx="5">
                  <c:v>海氣遙測組</c:v>
                </c:pt>
                <c:pt idx="6">
                  <c:v>預報中心</c:v>
                </c:pt>
                <c:pt idx="7">
                  <c:v>地震中心</c:v>
                </c:pt>
              </c:strCache>
            </c:strRef>
          </c:cat>
          <c:val>
            <c:numRef>
              <c:f>工作表1!$B$12:$I$12</c:f>
              <c:numCache>
                <c:formatCode>#,##0</c:formatCode>
                <c:ptCount val="8"/>
                <c:pt idx="0">
                  <c:v>52600</c:v>
                </c:pt>
                <c:pt idx="1">
                  <c:v>35600</c:v>
                </c:pt>
                <c:pt idx="2">
                  <c:v>19895</c:v>
                </c:pt>
                <c:pt idx="3" formatCode="General">
                  <c:v>450</c:v>
                </c:pt>
                <c:pt idx="4">
                  <c:v>14700</c:v>
                </c:pt>
                <c:pt idx="5">
                  <c:v>3000</c:v>
                </c:pt>
                <c:pt idx="6">
                  <c:v>11290</c:v>
                </c:pt>
                <c:pt idx="7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D69-4277-A940-89F388CF1A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1">
                <a:solidFill>
                  <a:sysClr val="windowText" lastClr="000000"/>
                </a:solidFill>
              </a:rPr>
              <a:t>114</a:t>
            </a:r>
            <a:r>
              <a:rPr lang="zh-TW" altLang="en-US" sz="1400" b="1">
                <a:solidFill>
                  <a:sysClr val="windowText" lastClr="000000"/>
                </a:solidFill>
              </a:rPr>
              <a:t>年經費投入</a:t>
            </a:r>
            <a:r>
              <a:rPr lang="en-US" altLang="zh-TW" sz="1400" b="1">
                <a:solidFill>
                  <a:sysClr val="windowText" lastClr="000000"/>
                </a:solidFill>
              </a:rPr>
              <a:t>(</a:t>
            </a:r>
            <a:r>
              <a:rPr lang="zh-TW" altLang="en-US" sz="1400" b="1">
                <a:solidFill>
                  <a:sysClr val="windowText" lastClr="000000"/>
                </a:solidFill>
              </a:rPr>
              <a:t>按分組</a:t>
            </a:r>
            <a:r>
              <a:rPr lang="en-US" altLang="zh-TW" sz="1400" b="1">
                <a:solidFill>
                  <a:sysClr val="windowText" lastClr="000000"/>
                </a:solidFill>
              </a:rPr>
              <a:t>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v>114年經費投入(按分組)</c:v>
          </c:tx>
          <c:spPr>
            <a:ln w="317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A7-4334-83DB-C29E6DCE36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A7-4334-83DB-C29E6DCE36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6A7-4334-83DB-C29E6DCE36C1}"/>
              </c:ext>
            </c:extLst>
          </c:dPt>
          <c:dPt>
            <c:idx val="3"/>
            <c:bubble3D val="0"/>
            <c:spPr>
              <a:solidFill>
                <a:schemeClr val="accent1">
                  <a:lumMod val="50000"/>
                </a:schemeClr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6A7-4334-83DB-C29E6DCE36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6A7-4334-83DB-C29E6DCE36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6A7-4334-83DB-C29E6DCE36C1}"/>
              </c:ext>
            </c:extLst>
          </c:dPt>
          <c:dPt>
            <c:idx val="6"/>
            <c:bubble3D val="0"/>
            <c:spPr>
              <a:solidFill>
                <a:schemeClr val="bg1">
                  <a:lumMod val="65000"/>
                </a:schemeClr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6A7-4334-83DB-C29E6DCE36C1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6A7-4334-83DB-C29E6DCE36C1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6A7-4334-83DB-C29E6DCE36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defRPr>
                </a:pPr>
                <a:endParaRPr lang="zh-TW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工作表1!$B$1:$J$1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工作表1!$B$2:$J$2</c:f>
              <c:numCache>
                <c:formatCode>#,##0</c:formatCode>
                <c:ptCount val="9"/>
                <c:pt idx="0">
                  <c:v>38950</c:v>
                </c:pt>
                <c:pt idx="1">
                  <c:v>23600</c:v>
                </c:pt>
                <c:pt idx="2">
                  <c:v>11290</c:v>
                </c:pt>
                <c:pt idx="3">
                  <c:v>1200</c:v>
                </c:pt>
                <c:pt idx="4">
                  <c:v>14300</c:v>
                </c:pt>
                <c:pt idx="5">
                  <c:v>6850</c:v>
                </c:pt>
                <c:pt idx="6">
                  <c:v>19895</c:v>
                </c:pt>
                <c:pt idx="7" formatCode="General">
                  <c:v>450</c:v>
                </c:pt>
                <c:pt idx="8">
                  <c:v>22200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6A7-4334-83DB-C29E6DCE36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工作表2!$B$1</c:f>
              <c:strCache>
                <c:ptCount val="1"/>
                <c:pt idx="0">
                  <c:v>AI應用技術發展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工作表2!$A$2:$A$10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工作表2!$B$2:$B$10</c:f>
              <c:numCache>
                <c:formatCode>#,##0_ </c:formatCode>
                <c:ptCount val="9"/>
                <c:pt idx="0">
                  <c:v>38950</c:v>
                </c:pt>
                <c:pt idx="1">
                  <c:v>23600</c:v>
                </c:pt>
                <c:pt idx="2">
                  <c:v>1800</c:v>
                </c:pt>
                <c:pt idx="3">
                  <c:v>1200</c:v>
                </c:pt>
                <c:pt idx="4">
                  <c:v>14300</c:v>
                </c:pt>
                <c:pt idx="5">
                  <c:v>6850</c:v>
                </c:pt>
                <c:pt idx="6">
                  <c:v>8695</c:v>
                </c:pt>
                <c:pt idx="7">
                  <c:v>0</c:v>
                </c:pt>
                <c:pt idx="8">
                  <c:v>14700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E-48EA-BD2D-C40093D759DB}"/>
            </c:ext>
          </c:extLst>
        </c:ser>
        <c:ser>
          <c:idx val="1"/>
          <c:order val="1"/>
          <c:tx>
            <c:strRef>
              <c:f>工作表2!$C$1</c:f>
              <c:strCache>
                <c:ptCount val="1"/>
                <c:pt idx="0">
                  <c:v>軟硬體基礎建設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工作表2!$A$2:$A$10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工作表2!$C$2:$C$10</c:f>
              <c:numCache>
                <c:formatCode>#,##0_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9490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11200</c:v>
                </c:pt>
                <c:pt idx="7">
                  <c:v>450</c:v>
                </c:pt>
                <c:pt idx="8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E-48EA-BD2D-C40093D75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19952"/>
        <c:axId val="69568416"/>
      </c:barChart>
      <c:catAx>
        <c:axId val="6951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568416"/>
        <c:crosses val="autoZero"/>
        <c:auto val="1"/>
        <c:lblAlgn val="ctr"/>
        <c:lblOffset val="100"/>
        <c:noMultiLvlLbl val="0"/>
      </c:catAx>
      <c:valAx>
        <c:axId val="6956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51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工作表2!$E$1</c:f>
              <c:strCache>
                <c:ptCount val="1"/>
                <c:pt idx="0">
                  <c:v>規劃由HPC計畫支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工作表2!$A$2:$A$10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工作表2!$E$2:$E$10</c:f>
              <c:numCache>
                <c:formatCode>#,##0_ </c:formatCode>
                <c:ptCount val="9"/>
                <c:pt idx="0">
                  <c:v>38950</c:v>
                </c:pt>
                <c:pt idx="1">
                  <c:v>6050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2250</c:v>
                </c:pt>
                <c:pt idx="6">
                  <c:v>7000</c:v>
                </c:pt>
                <c:pt idx="7">
                  <c:v>450</c:v>
                </c:pt>
                <c:pt idx="8">
                  <c:v>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A-4F02-AC9F-6BA83FFC068A}"/>
            </c:ext>
          </c:extLst>
        </c:ser>
        <c:ser>
          <c:idx val="1"/>
          <c:order val="1"/>
          <c:tx>
            <c:strRef>
              <c:f>工作表2!$F$1</c:f>
              <c:strCache>
                <c:ptCount val="1"/>
                <c:pt idx="0">
                  <c:v>已有其他計畫來源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工作表2!$A$2:$A$10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工作表2!$F$2:$F$10</c:f>
              <c:numCache>
                <c:formatCode>#,##0_ </c:formatCode>
                <c:ptCount val="9"/>
                <c:pt idx="0">
                  <c:v>0</c:v>
                </c:pt>
                <c:pt idx="1">
                  <c:v>17550</c:v>
                </c:pt>
                <c:pt idx="2">
                  <c:v>11290</c:v>
                </c:pt>
                <c:pt idx="3">
                  <c:v>1200</c:v>
                </c:pt>
                <c:pt idx="4">
                  <c:v>14300</c:v>
                </c:pt>
                <c:pt idx="5">
                  <c:v>4600</c:v>
                </c:pt>
                <c:pt idx="6">
                  <c:v>12895</c:v>
                </c:pt>
                <c:pt idx="7">
                  <c:v>0</c:v>
                </c:pt>
                <c:pt idx="8">
                  <c:v>16950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6A-4F02-AC9F-6BA83FFC0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900160"/>
        <c:axId val="1135518160"/>
      </c:barChart>
      <c:catAx>
        <c:axId val="113690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35518160"/>
        <c:crosses val="autoZero"/>
        <c:auto val="1"/>
        <c:lblAlgn val="ctr"/>
        <c:lblOffset val="100"/>
        <c:noMultiLvlLbl val="0"/>
      </c:catAx>
      <c:valAx>
        <c:axId val="113551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369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1220603674540681"/>
          <c:y val="0.17694444444444443"/>
          <c:w val="0.865571741032371"/>
          <c:h val="0.5594050743657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工作表3!$B$1</c:f>
              <c:strCache>
                <c:ptCount val="1"/>
                <c:pt idx="0">
                  <c:v>編制內人力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工作表3!$A$2:$A$10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工作表3!$B$2:$B$10</c:f>
              <c:numCache>
                <c:formatCode>#,##0.00_ </c:formatCode>
                <c:ptCount val="9"/>
                <c:pt idx="0">
                  <c:v>0.8</c:v>
                </c:pt>
                <c:pt idx="1">
                  <c:v>3.45</c:v>
                </c:pt>
                <c:pt idx="2">
                  <c:v>6.2</c:v>
                </c:pt>
                <c:pt idx="3">
                  <c:v>1.2</c:v>
                </c:pt>
                <c:pt idx="4">
                  <c:v>2.1</c:v>
                </c:pt>
                <c:pt idx="5">
                  <c:v>1</c:v>
                </c:pt>
                <c:pt idx="6">
                  <c:v>2.77</c:v>
                </c:pt>
                <c:pt idx="7">
                  <c:v>0</c:v>
                </c:pt>
                <c:pt idx="8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E-4116-9DDC-EF7B23D4A3E4}"/>
            </c:ext>
          </c:extLst>
        </c:ser>
        <c:ser>
          <c:idx val="1"/>
          <c:order val="1"/>
          <c:tx>
            <c:strRef>
              <c:f>工作表3!$C$1</c:f>
              <c:strCache>
                <c:ptCount val="1"/>
                <c:pt idx="0">
                  <c:v>國內計畫人力
(自行研發)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工作表3!$A$2:$A$10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工作表3!$C$2:$C$10</c:f>
              <c:numCache>
                <c:formatCode>#,##0.00_ </c:formatCode>
                <c:ptCount val="9"/>
                <c:pt idx="0">
                  <c:v>17.3</c:v>
                </c:pt>
                <c:pt idx="1">
                  <c:v>3.7</c:v>
                </c:pt>
                <c:pt idx="2">
                  <c:v>3.7</c:v>
                </c:pt>
                <c:pt idx="3">
                  <c:v>0</c:v>
                </c:pt>
                <c:pt idx="4">
                  <c:v>3</c:v>
                </c:pt>
                <c:pt idx="5">
                  <c:v>1.5</c:v>
                </c:pt>
                <c:pt idx="6">
                  <c:v>1.25</c:v>
                </c:pt>
                <c:pt idx="7">
                  <c:v>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E-4116-9DDC-EF7B23D4A3E4}"/>
            </c:ext>
          </c:extLst>
        </c:ser>
        <c:ser>
          <c:idx val="2"/>
          <c:order val="2"/>
          <c:tx>
            <c:strRef>
              <c:f>工作表3!$D$1</c:f>
              <c:strCache>
                <c:ptCount val="1"/>
                <c:pt idx="0">
                  <c:v>國內計畫人力
(委外)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工作表3!$A$2:$A$10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工作表3!$D$2:$D$10</c:f>
              <c:numCache>
                <c:formatCode>#,##0.00_ </c:formatCode>
                <c:ptCount val="9"/>
                <c:pt idx="0">
                  <c:v>3.33</c:v>
                </c:pt>
                <c:pt idx="1">
                  <c:v>11.58</c:v>
                </c:pt>
                <c:pt idx="2">
                  <c:v>3.9</c:v>
                </c:pt>
                <c:pt idx="3">
                  <c:v>0.81</c:v>
                </c:pt>
                <c:pt idx="4">
                  <c:v>3.33</c:v>
                </c:pt>
                <c:pt idx="5">
                  <c:v>2</c:v>
                </c:pt>
                <c:pt idx="6">
                  <c:v>8.67</c:v>
                </c:pt>
                <c:pt idx="7">
                  <c:v>0</c:v>
                </c:pt>
                <c:pt idx="8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E-4116-9DDC-EF7B23D4A3E4}"/>
            </c:ext>
          </c:extLst>
        </c:ser>
        <c:ser>
          <c:idx val="3"/>
          <c:order val="3"/>
          <c:tx>
            <c:strRef>
              <c:f>工作表3!$E$1</c:f>
              <c:strCache>
                <c:ptCount val="1"/>
                <c:pt idx="0">
                  <c:v>國外合作人力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工作表3!$A$2:$A$10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工作表3!$E$2:$E$10</c:f>
              <c:numCache>
                <c:formatCode>#,##0.00_ 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3E-4116-9DDC-EF7B23D4A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007248"/>
        <c:axId val="831148624"/>
      </c:barChart>
      <c:catAx>
        <c:axId val="112700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1148624"/>
        <c:crosses val="autoZero"/>
        <c:auto val="1"/>
        <c:lblAlgn val="ctr"/>
        <c:lblOffset val="100"/>
        <c:noMultiLvlLbl val="0"/>
      </c:catAx>
      <c:valAx>
        <c:axId val="83114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700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工作表4!$H$1</c:f>
              <c:strCache>
                <c:ptCount val="1"/>
                <c:pt idx="0">
                  <c:v>扣除教育訓練費用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工作表4!$F$2:$F$10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工作表4!$H$2:$H$10</c:f>
              <c:numCache>
                <c:formatCode>#,##0</c:formatCode>
                <c:ptCount val="9"/>
                <c:pt idx="0">
                  <c:v>12875</c:v>
                </c:pt>
                <c:pt idx="1">
                  <c:v>9875</c:v>
                </c:pt>
                <c:pt idx="2">
                  <c:v>3963</c:v>
                </c:pt>
                <c:pt idx="3">
                  <c:v>7880</c:v>
                </c:pt>
                <c:pt idx="4">
                  <c:v>8995</c:v>
                </c:pt>
                <c:pt idx="5">
                  <c:v>6524</c:v>
                </c:pt>
                <c:pt idx="6">
                  <c:v>2816</c:v>
                </c:pt>
                <c:pt idx="7">
                  <c:v>0</c:v>
                </c:pt>
                <c:pt idx="8">
                  <c:v>3850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A-421F-B1A5-28CE59C2E69F}"/>
            </c:ext>
          </c:extLst>
        </c:ser>
        <c:ser>
          <c:idx val="1"/>
          <c:order val="1"/>
          <c:tx>
            <c:strRef>
              <c:f>工作表4!$I$1</c:f>
              <c:strCache>
                <c:ptCount val="1"/>
                <c:pt idx="0">
                  <c:v>預估投入教育訓練費用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工作表4!$F$2:$F$10</c:f>
              <c:strCache>
                <c:ptCount val="9"/>
                <c:pt idx="0">
                  <c:v>[1]</c:v>
                </c:pt>
                <c:pt idx="1">
                  <c:v>[2]</c:v>
                </c:pt>
                <c:pt idx="2">
                  <c:v>[3]</c:v>
                </c:pt>
                <c:pt idx="3">
                  <c:v>[4]</c:v>
                </c:pt>
                <c:pt idx="4">
                  <c:v>[5]</c:v>
                </c:pt>
                <c:pt idx="5">
                  <c:v>[6]</c:v>
                </c:pt>
                <c:pt idx="6">
                  <c:v>[7]</c:v>
                </c:pt>
                <c:pt idx="7">
                  <c:v>[8]</c:v>
                </c:pt>
                <c:pt idx="8">
                  <c:v>[9]</c:v>
                </c:pt>
              </c:strCache>
            </c:strRef>
          </c:cat>
          <c:val>
            <c:numRef>
              <c:f>工作表4!$I$2:$I$10</c:f>
              <c:numCache>
                <c:formatCode>#,##0</c:formatCode>
                <c:ptCount val="9"/>
                <c:pt idx="0">
                  <c:v>50</c:v>
                </c:pt>
                <c:pt idx="1">
                  <c:v>358</c:v>
                </c:pt>
                <c:pt idx="2">
                  <c:v>245</c:v>
                </c:pt>
                <c:pt idx="3">
                  <c:v>0</c:v>
                </c:pt>
                <c:pt idx="4">
                  <c:v>155</c:v>
                </c:pt>
                <c:pt idx="5">
                  <c:v>520</c:v>
                </c:pt>
                <c:pt idx="6">
                  <c:v>184</c:v>
                </c:pt>
                <c:pt idx="7">
                  <c:v>102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DB8-4C4B-B719-746E06CA9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4129920"/>
        <c:axId val="1193354704"/>
      </c:barChart>
      <c:catAx>
        <c:axId val="11941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3354704"/>
        <c:crosses val="autoZero"/>
        <c:auto val="1"/>
        <c:lblAlgn val="ctr"/>
        <c:lblOffset val="100"/>
        <c:noMultiLvlLbl val="0"/>
      </c:catAx>
      <c:valAx>
        <c:axId val="11933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41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460549</xdr:colOff>
      <xdr:row>15</xdr:row>
      <xdr:rowOff>147252</xdr:rowOff>
    </xdr:from>
    <xdr:to>
      <xdr:col>9</xdr:col>
      <xdr:colOff>1010068</xdr:colOff>
      <xdr:row>36</xdr:row>
      <xdr:rowOff>89360</xdr:rowOff>
    </xdr:to>
    <xdr:grpSp>
      <xdr:nvGrpSpPr>
        <xdr:cNvPr id="10" name="群組 9">
          <a:extLst>
            <a:ext uri="{FF2B5EF4-FFF2-40B4-BE49-F238E27FC236}">
              <a16:creationId xmlns:a16="http://schemas.microsoft.com/office/drawing/2014/main" id="{BB4D4C17-8F3C-41C2-9164-49061304C754}"/>
            </a:ext>
          </a:extLst>
        </xdr:cNvPr>
        <xdr:cNvGrpSpPr/>
      </xdr:nvGrpSpPr>
      <xdr:grpSpPr>
        <a:xfrm>
          <a:off x="5604049" y="3347652"/>
          <a:ext cx="4664319" cy="4342658"/>
          <a:chOff x="5589395" y="3078021"/>
          <a:chExt cx="4652596" cy="4338262"/>
        </a:xfrm>
      </xdr:grpSpPr>
      <xdr:graphicFrame macro="">
        <xdr:nvGraphicFramePr>
          <xdr:cNvPr id="4" name="圖表 3">
            <a:extLst>
              <a:ext uri="{FF2B5EF4-FFF2-40B4-BE49-F238E27FC236}">
                <a16:creationId xmlns:a16="http://schemas.microsoft.com/office/drawing/2014/main" id="{DD57CE45-728D-49E6-BD68-AA1A9CFACC70}"/>
              </a:ext>
            </a:extLst>
          </xdr:cNvPr>
          <xdr:cNvGraphicFramePr>
            <a:graphicFrameLocks/>
          </xdr:cNvGraphicFramePr>
        </xdr:nvGraphicFramePr>
        <xdr:xfrm>
          <a:off x="5589395" y="3078021"/>
          <a:ext cx="4652596" cy="43382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文字方塊 7">
            <a:extLst>
              <a:ext uri="{FF2B5EF4-FFF2-40B4-BE49-F238E27FC236}">
                <a16:creationId xmlns:a16="http://schemas.microsoft.com/office/drawing/2014/main" id="{B3823E97-AA31-4946-8918-4E75A8B64E2F}"/>
              </a:ext>
            </a:extLst>
          </xdr:cNvPr>
          <xdr:cNvSpPr txBox="1"/>
        </xdr:nvSpPr>
        <xdr:spPr>
          <a:xfrm>
            <a:off x="9074917" y="6654730"/>
            <a:ext cx="942033" cy="2826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1000" b="1" i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單位</a:t>
            </a:r>
            <a:r>
              <a:rPr lang="en-US" altLang="zh-TW" sz="1000" b="1" i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: </a:t>
            </a:r>
            <a:r>
              <a:rPr lang="zh-TW" altLang="en-US" sz="1000" b="1" i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千元</a:t>
            </a:r>
          </a:p>
        </xdr:txBody>
      </xdr:sp>
    </xdr:grpSp>
    <xdr:clientData/>
  </xdr:twoCellAnchor>
  <xdr:twoCellAnchor>
    <xdr:from>
      <xdr:col>0</xdr:col>
      <xdr:colOff>561976</xdr:colOff>
      <xdr:row>15</xdr:row>
      <xdr:rowOff>147252</xdr:rowOff>
    </xdr:from>
    <xdr:to>
      <xdr:col>5</xdr:col>
      <xdr:colOff>85726</xdr:colOff>
      <xdr:row>36</xdr:row>
      <xdr:rowOff>89360</xdr:rowOff>
    </xdr:to>
    <xdr:grpSp>
      <xdr:nvGrpSpPr>
        <xdr:cNvPr id="11" name="群組 10">
          <a:extLst>
            <a:ext uri="{FF2B5EF4-FFF2-40B4-BE49-F238E27FC236}">
              <a16:creationId xmlns:a16="http://schemas.microsoft.com/office/drawing/2014/main" id="{89EA59BE-D557-46C3-8142-BF6EFD4AEF08}"/>
            </a:ext>
          </a:extLst>
        </xdr:cNvPr>
        <xdr:cNvGrpSpPr/>
      </xdr:nvGrpSpPr>
      <xdr:grpSpPr>
        <a:xfrm>
          <a:off x="561976" y="3347652"/>
          <a:ext cx="4667250" cy="4342658"/>
          <a:chOff x="561976" y="3078021"/>
          <a:chExt cx="4652596" cy="4338262"/>
        </a:xfrm>
      </xdr:grpSpPr>
      <xdr:graphicFrame macro="">
        <xdr:nvGraphicFramePr>
          <xdr:cNvPr id="2" name="圖表 1">
            <a:extLst>
              <a:ext uri="{FF2B5EF4-FFF2-40B4-BE49-F238E27FC236}">
                <a16:creationId xmlns:a16="http://schemas.microsoft.com/office/drawing/2014/main" id="{49C38C2B-745A-4D4C-946F-BF906913F555}"/>
              </a:ext>
            </a:extLst>
          </xdr:cNvPr>
          <xdr:cNvGraphicFramePr/>
        </xdr:nvGraphicFramePr>
        <xdr:xfrm>
          <a:off x="561976" y="3078021"/>
          <a:ext cx="4652596" cy="43382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9" name="文字方塊 8">
            <a:extLst>
              <a:ext uri="{FF2B5EF4-FFF2-40B4-BE49-F238E27FC236}">
                <a16:creationId xmlns:a16="http://schemas.microsoft.com/office/drawing/2014/main" id="{8A5FD67C-2FB9-4199-BB56-B02857AF0660}"/>
              </a:ext>
            </a:extLst>
          </xdr:cNvPr>
          <xdr:cNvSpPr txBox="1"/>
        </xdr:nvSpPr>
        <xdr:spPr>
          <a:xfrm>
            <a:off x="4025202" y="6654730"/>
            <a:ext cx="942033" cy="2826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TW" altLang="en-US" sz="1000" b="1" i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單位</a:t>
            </a:r>
            <a:r>
              <a:rPr lang="en-US" altLang="zh-TW" sz="1000" b="1" i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: </a:t>
            </a:r>
            <a:r>
              <a:rPr lang="zh-TW" altLang="en-US" sz="1000" b="1" i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千元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18</xdr:row>
      <xdr:rowOff>23812</xdr:rowOff>
    </xdr:from>
    <xdr:to>
      <xdr:col>4</xdr:col>
      <xdr:colOff>1038225</xdr:colOff>
      <xdr:row>31</xdr:row>
      <xdr:rowOff>42862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0F05488-A852-4665-A7AD-1A11ACB34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61912</xdr:colOff>
      <xdr:row>13</xdr:row>
      <xdr:rowOff>52387</xdr:rowOff>
    </xdr:from>
    <xdr:to>
      <xdr:col>12</xdr:col>
      <xdr:colOff>519112</xdr:colOff>
      <xdr:row>26</xdr:row>
      <xdr:rowOff>71437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EFDEC07-33E0-4F76-93D3-594A075C7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1276350</xdr:colOff>
      <xdr:row>1</xdr:row>
      <xdr:rowOff>0</xdr:rowOff>
    </xdr:from>
    <xdr:to>
      <xdr:col>16</xdr:col>
      <xdr:colOff>57150</xdr:colOff>
      <xdr:row>22</xdr:row>
      <xdr:rowOff>14287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B25BAC5-328E-4DB1-8D74-F5A25EED9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1114425</xdr:colOff>
      <xdr:row>14</xdr:row>
      <xdr:rowOff>52386</xdr:rowOff>
    </xdr:from>
    <xdr:to>
      <xdr:col>9</xdr:col>
      <xdr:colOff>1162050</xdr:colOff>
      <xdr:row>35</xdr:row>
      <xdr:rowOff>152399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59A603E-F072-48AA-AFFE-AD595D7E6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宣紙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E890-4A79-4057-B16C-073B72670C41}">
  <dimension ref="A1:J12"/>
  <sheetViews>
    <sheetView zoomScaleNormal="100" workbookViewId="0">
      <selection activeCell="J2" sqref="J2"/>
    </sheetView>
  </sheetViews>
  <sheetFormatPr defaultRowHeight="16.5" x14ac:dyDescent="0.25"/>
  <cols>
    <col min="1" max="10" width="13.5" customWidth="1"/>
  </cols>
  <sheetData>
    <row r="1" spans="1:10" ht="17.25" thickBot="1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ht="17.25" thickBot="1" x14ac:dyDescent="0.25">
      <c r="A2" s="2" t="s">
        <v>11</v>
      </c>
      <c r="B2" s="4">
        <v>38950</v>
      </c>
      <c r="C2" s="4">
        <v>23600</v>
      </c>
      <c r="D2" s="4">
        <v>11290</v>
      </c>
      <c r="E2" s="4">
        <v>1200</v>
      </c>
      <c r="F2" s="4">
        <v>14300</v>
      </c>
      <c r="G2" s="4">
        <v>6850</v>
      </c>
      <c r="H2" s="4">
        <v>19895</v>
      </c>
      <c r="I2" s="5">
        <v>450</v>
      </c>
      <c r="J2" s="4">
        <v>22200</v>
      </c>
    </row>
    <row r="3" spans="1:10" ht="17.25" thickBot="1" x14ac:dyDescent="0.3"/>
    <row r="4" spans="1:10" ht="17.25" thickBot="1" x14ac:dyDescent="0.25">
      <c r="A4" s="1" t="s">
        <v>0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</row>
    <row r="5" spans="1:10" x14ac:dyDescent="0.25">
      <c r="A5" s="1"/>
      <c r="B5" s="1"/>
      <c r="C5" s="1">
        <v>4000</v>
      </c>
      <c r="D5" s="1">
        <v>3000</v>
      </c>
      <c r="E5" s="1">
        <v>102</v>
      </c>
      <c r="F5" s="1">
        <v>1600</v>
      </c>
      <c r="G5" s="1">
        <v>3143</v>
      </c>
    </row>
    <row r="6" spans="1:10" x14ac:dyDescent="0.25">
      <c r="A6" s="1"/>
      <c r="B6" s="1"/>
      <c r="C6" s="1">
        <v>10233</v>
      </c>
      <c r="D6" s="1"/>
      <c r="E6" s="1"/>
      <c r="F6" s="1"/>
      <c r="G6" s="1">
        <v>460</v>
      </c>
    </row>
    <row r="7" spans="1:10" x14ac:dyDescent="0.25">
      <c r="A7" s="1"/>
      <c r="B7" s="1"/>
      <c r="C7" s="1">
        <v>2500</v>
      </c>
      <c r="D7" s="1"/>
      <c r="E7" s="1"/>
      <c r="F7" s="1"/>
      <c r="G7" s="1">
        <v>801</v>
      </c>
    </row>
    <row r="8" spans="1:10" x14ac:dyDescent="0.25">
      <c r="A8" s="1"/>
      <c r="B8" s="1"/>
      <c r="C8" s="1">
        <v>200</v>
      </c>
      <c r="D8" s="1"/>
      <c r="E8" s="1"/>
      <c r="F8" s="1"/>
      <c r="G8" s="1">
        <v>2483</v>
      </c>
    </row>
    <row r="9" spans="1:10" x14ac:dyDescent="0.25">
      <c r="A9" s="1"/>
      <c r="B9" s="1"/>
      <c r="C9" s="1"/>
      <c r="D9" s="1"/>
      <c r="E9" s="1"/>
      <c r="F9" s="1"/>
      <c r="G9" s="1"/>
    </row>
    <row r="10" spans="1:10" x14ac:dyDescent="0.25">
      <c r="A10" s="1"/>
      <c r="B10" s="1"/>
      <c r="C10" s="1"/>
      <c r="D10" s="1"/>
      <c r="E10" s="1"/>
      <c r="F10" s="1"/>
      <c r="G10" s="1"/>
    </row>
    <row r="11" spans="1:10" ht="17.25" thickBot="1" x14ac:dyDescent="0.3">
      <c r="A11" s="1"/>
      <c r="B11" s="1"/>
      <c r="C11" s="1"/>
      <c r="D11" s="1"/>
      <c r="E11" s="1"/>
      <c r="F11" s="1"/>
      <c r="G11" s="1"/>
    </row>
    <row r="12" spans="1:10" ht="17.25" thickBot="1" x14ac:dyDescent="0.25">
      <c r="A12" s="2" t="s">
        <v>1</v>
      </c>
      <c r="B12" s="4">
        <v>52600</v>
      </c>
      <c r="C12" s="4">
        <v>35600</v>
      </c>
      <c r="D12" s="4">
        <v>19895</v>
      </c>
      <c r="E12" s="5">
        <v>450</v>
      </c>
      <c r="F12" s="4">
        <v>14700</v>
      </c>
      <c r="G12" s="4">
        <v>3000</v>
      </c>
      <c r="H12" s="4">
        <v>11290</v>
      </c>
      <c r="I12" s="4">
        <v>1200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CDAE-80EE-43A8-B6B5-1B8E6689AE61}">
  <dimension ref="A1:F10"/>
  <sheetViews>
    <sheetView workbookViewId="0">
      <selection activeCell="J8" sqref="J8"/>
    </sheetView>
  </sheetViews>
  <sheetFormatPr defaultRowHeight="16.5" x14ac:dyDescent="0.25"/>
  <cols>
    <col min="2" max="2" width="17.125" style="1" customWidth="1"/>
    <col min="3" max="3" width="18.625" style="1" customWidth="1"/>
    <col min="5" max="5" width="17.125" customWidth="1"/>
    <col min="6" max="6" width="19.25" customWidth="1"/>
  </cols>
  <sheetData>
    <row r="1" spans="1:6" x14ac:dyDescent="0.25">
      <c r="B1" s="1" t="s">
        <v>28</v>
      </c>
      <c r="C1" s="1" t="s">
        <v>29</v>
      </c>
      <c r="E1" t="s">
        <v>30</v>
      </c>
      <c r="F1" t="s">
        <v>31</v>
      </c>
    </row>
    <row r="2" spans="1:6" x14ac:dyDescent="0.25">
      <c r="A2" s="1" t="s">
        <v>2</v>
      </c>
      <c r="B2" s="6">
        <v>38950</v>
      </c>
      <c r="C2" s="6">
        <v>0</v>
      </c>
      <c r="E2" s="6">
        <v>38950</v>
      </c>
      <c r="F2" s="6">
        <v>0</v>
      </c>
    </row>
    <row r="3" spans="1:6" x14ac:dyDescent="0.25">
      <c r="A3" s="1" t="s">
        <v>20</v>
      </c>
      <c r="B3" s="6">
        <v>23600</v>
      </c>
      <c r="C3" s="6">
        <v>0</v>
      </c>
      <c r="E3" s="6">
        <v>6050</v>
      </c>
      <c r="F3" s="6">
        <f>B3+C3-E3</f>
        <v>17550</v>
      </c>
    </row>
    <row r="4" spans="1:6" x14ac:dyDescent="0.25">
      <c r="A4" s="1" t="s">
        <v>21</v>
      </c>
      <c r="B4" s="6">
        <v>1800</v>
      </c>
      <c r="C4" s="6">
        <v>9490</v>
      </c>
      <c r="E4" s="6">
        <v>0</v>
      </c>
      <c r="F4" s="6">
        <f t="shared" ref="F4:F10" si="0">B4+C4-E4</f>
        <v>11290</v>
      </c>
    </row>
    <row r="5" spans="1:6" x14ac:dyDescent="0.25">
      <c r="A5" s="1" t="s">
        <v>22</v>
      </c>
      <c r="B5" s="6">
        <v>1200</v>
      </c>
      <c r="C5" s="6">
        <v>0</v>
      </c>
      <c r="E5" s="6">
        <v>0</v>
      </c>
      <c r="F5" s="6">
        <f t="shared" si="0"/>
        <v>1200</v>
      </c>
    </row>
    <row r="6" spans="1:6" x14ac:dyDescent="0.25">
      <c r="A6" s="1" t="s">
        <v>23</v>
      </c>
      <c r="B6" s="6">
        <v>14300</v>
      </c>
      <c r="C6" s="6">
        <v>0</v>
      </c>
      <c r="E6" s="6">
        <v>0</v>
      </c>
      <c r="F6" s="6">
        <f t="shared" si="0"/>
        <v>14300</v>
      </c>
    </row>
    <row r="7" spans="1:6" x14ac:dyDescent="0.25">
      <c r="A7" s="1" t="s">
        <v>24</v>
      </c>
      <c r="B7" s="6">
        <v>6850</v>
      </c>
      <c r="C7" s="6">
        <v>0</v>
      </c>
      <c r="E7" s="6">
        <v>2250</v>
      </c>
      <c r="F7" s="6">
        <f t="shared" si="0"/>
        <v>4600</v>
      </c>
    </row>
    <row r="8" spans="1:6" x14ac:dyDescent="0.25">
      <c r="A8" s="1" t="s">
        <v>25</v>
      </c>
      <c r="B8" s="6">
        <v>8695</v>
      </c>
      <c r="C8" s="6">
        <v>11200</v>
      </c>
      <c r="E8" s="6">
        <v>7000</v>
      </c>
      <c r="F8" s="6">
        <f t="shared" si="0"/>
        <v>12895</v>
      </c>
    </row>
    <row r="9" spans="1:6" x14ac:dyDescent="0.25">
      <c r="A9" s="1" t="s">
        <v>26</v>
      </c>
      <c r="B9" s="6">
        <v>0</v>
      </c>
      <c r="C9" s="6">
        <v>450</v>
      </c>
      <c r="E9" s="6">
        <v>450</v>
      </c>
      <c r="F9" s="6">
        <f t="shared" si="0"/>
        <v>0</v>
      </c>
    </row>
    <row r="10" spans="1:6" x14ac:dyDescent="0.25">
      <c r="A10" s="1" t="s">
        <v>27</v>
      </c>
      <c r="B10" s="6">
        <v>14700</v>
      </c>
      <c r="C10" s="6">
        <v>7500</v>
      </c>
      <c r="E10" s="6">
        <v>5250</v>
      </c>
      <c r="F10" s="6">
        <f t="shared" si="0"/>
        <v>16950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EC77-A743-4E61-844E-E9B34389AF7B}">
  <dimension ref="A1:F10"/>
  <sheetViews>
    <sheetView workbookViewId="0">
      <selection activeCell="A2" sqref="A2:A10"/>
    </sheetView>
  </sheetViews>
  <sheetFormatPr defaultRowHeight="16.5" x14ac:dyDescent="0.25"/>
  <cols>
    <col min="2" max="2" width="17.125" style="1" customWidth="1"/>
    <col min="3" max="3" width="18.625" style="1" customWidth="1"/>
    <col min="4" max="4" width="18.375" customWidth="1"/>
    <col min="5" max="5" width="17.125" customWidth="1"/>
    <col min="6" max="6" width="19.25" customWidth="1"/>
  </cols>
  <sheetData>
    <row r="1" spans="1:6" ht="32.25" thickBot="1" x14ac:dyDescent="0.3">
      <c r="B1" s="7" t="s">
        <v>32</v>
      </c>
      <c r="C1" s="8" t="s">
        <v>33</v>
      </c>
      <c r="D1" s="8" t="s">
        <v>34</v>
      </c>
      <c r="E1" s="8" t="s">
        <v>35</v>
      </c>
    </row>
    <row r="2" spans="1:6" x14ac:dyDescent="0.25">
      <c r="A2" s="1" t="s">
        <v>2</v>
      </c>
      <c r="B2" s="9">
        <v>0.8</v>
      </c>
      <c r="C2" s="9">
        <v>17.3</v>
      </c>
      <c r="D2" s="9">
        <v>3.33</v>
      </c>
      <c r="E2" s="9">
        <v>1</v>
      </c>
      <c r="F2" s="6"/>
    </row>
    <row r="3" spans="1:6" x14ac:dyDescent="0.25">
      <c r="A3" s="1" t="s">
        <v>20</v>
      </c>
      <c r="B3" s="9">
        <v>3.45</v>
      </c>
      <c r="C3" s="9">
        <v>3.7</v>
      </c>
      <c r="D3" s="9">
        <v>11.58</v>
      </c>
      <c r="E3" s="9">
        <v>0</v>
      </c>
      <c r="F3" s="6"/>
    </row>
    <row r="4" spans="1:6" x14ac:dyDescent="0.25">
      <c r="A4" s="1" t="s">
        <v>21</v>
      </c>
      <c r="B4" s="9">
        <v>6.2</v>
      </c>
      <c r="C4" s="9">
        <v>3.7</v>
      </c>
      <c r="D4" s="9">
        <v>3.9</v>
      </c>
      <c r="E4" s="9">
        <v>0</v>
      </c>
      <c r="F4" s="6"/>
    </row>
    <row r="5" spans="1:6" x14ac:dyDescent="0.25">
      <c r="A5" s="1" t="s">
        <v>22</v>
      </c>
      <c r="B5" s="9">
        <v>1.2</v>
      </c>
      <c r="C5" s="9">
        <v>0</v>
      </c>
      <c r="D5" s="9">
        <v>0.81</v>
      </c>
      <c r="E5" s="9">
        <v>0</v>
      </c>
      <c r="F5" s="6"/>
    </row>
    <row r="6" spans="1:6" x14ac:dyDescent="0.25">
      <c r="A6" s="1" t="s">
        <v>23</v>
      </c>
      <c r="B6" s="9">
        <v>2.1</v>
      </c>
      <c r="C6" s="9">
        <v>3</v>
      </c>
      <c r="D6" s="9">
        <v>3.33</v>
      </c>
      <c r="E6" s="9">
        <v>0.6</v>
      </c>
      <c r="F6" s="6"/>
    </row>
    <row r="7" spans="1:6" x14ac:dyDescent="0.25">
      <c r="A7" s="1" t="s">
        <v>24</v>
      </c>
      <c r="B7" s="9">
        <v>1</v>
      </c>
      <c r="C7" s="9">
        <v>1.5</v>
      </c>
      <c r="D7" s="9">
        <v>2</v>
      </c>
      <c r="E7" s="9">
        <v>0.2</v>
      </c>
      <c r="F7" s="6"/>
    </row>
    <row r="8" spans="1:6" x14ac:dyDescent="0.25">
      <c r="A8" s="1" t="s">
        <v>25</v>
      </c>
      <c r="B8" s="9">
        <v>2.77</v>
      </c>
      <c r="C8" s="9">
        <v>1.25</v>
      </c>
      <c r="D8" s="9">
        <v>8.67</v>
      </c>
      <c r="E8" s="9">
        <v>0</v>
      </c>
      <c r="F8" s="6"/>
    </row>
    <row r="9" spans="1:6" x14ac:dyDescent="0.25">
      <c r="A9" s="1" t="s">
        <v>26</v>
      </c>
      <c r="B9" s="9">
        <v>0</v>
      </c>
      <c r="C9" s="9">
        <v>0</v>
      </c>
      <c r="D9" s="9">
        <v>0</v>
      </c>
      <c r="E9" s="9">
        <v>0</v>
      </c>
      <c r="F9" s="6"/>
    </row>
    <row r="10" spans="1:6" x14ac:dyDescent="0.25">
      <c r="A10" s="1" t="s">
        <v>27</v>
      </c>
      <c r="B10" s="9">
        <v>3.5</v>
      </c>
      <c r="C10" s="9">
        <v>3</v>
      </c>
      <c r="D10" s="9">
        <v>11.8</v>
      </c>
      <c r="E10" s="9">
        <v>0</v>
      </c>
      <c r="F10" s="6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252A-C921-41D3-8514-E980BD9B61A3}">
  <dimension ref="A1:J12"/>
  <sheetViews>
    <sheetView tabSelected="1" workbookViewId="0">
      <selection activeCell="M9" sqref="M9"/>
    </sheetView>
  </sheetViews>
  <sheetFormatPr defaultRowHeight="16.5" x14ac:dyDescent="0.25"/>
  <cols>
    <col min="2" max="3" width="17.625" customWidth="1"/>
    <col min="4" max="4" width="23.25" style="1" customWidth="1"/>
    <col min="5" max="5" width="18.125" customWidth="1"/>
    <col min="7" max="7" width="13.875" bestFit="1" customWidth="1"/>
    <col min="8" max="8" width="18.625" bestFit="1" customWidth="1"/>
    <col min="9" max="9" width="23" bestFit="1" customWidth="1"/>
    <col min="10" max="10" width="17.25" customWidth="1"/>
  </cols>
  <sheetData>
    <row r="1" spans="1:10" ht="33" customHeight="1" thickBot="1" x14ac:dyDescent="0.3">
      <c r="A1">
        <v>115</v>
      </c>
      <c r="B1" s="10" t="s">
        <v>36</v>
      </c>
      <c r="C1" s="12" t="s">
        <v>38</v>
      </c>
      <c r="D1" s="11" t="s">
        <v>37</v>
      </c>
      <c r="F1">
        <v>114</v>
      </c>
      <c r="G1" s="10" t="s">
        <v>36</v>
      </c>
      <c r="H1" s="12" t="s">
        <v>38</v>
      </c>
      <c r="I1" s="11" t="s">
        <v>37</v>
      </c>
    </row>
    <row r="2" spans="1:10" ht="17.25" thickBot="1" x14ac:dyDescent="0.25">
      <c r="A2" s="1" t="s">
        <v>2</v>
      </c>
      <c r="B2" s="4">
        <v>38950</v>
      </c>
      <c r="C2" s="4">
        <f>B2-D2</f>
        <v>38792</v>
      </c>
      <c r="D2" s="4">
        <v>158</v>
      </c>
      <c r="E2" s="13">
        <f>D2/B2</f>
        <v>4.0564826700898587E-3</v>
      </c>
      <c r="F2" s="1" t="s">
        <v>2</v>
      </c>
      <c r="G2" s="4">
        <v>12925</v>
      </c>
      <c r="H2" s="4">
        <f>G2-I2</f>
        <v>12875</v>
      </c>
      <c r="I2" s="4">
        <v>50</v>
      </c>
      <c r="J2" s="13">
        <f>I2/G2</f>
        <v>3.8684719535783366E-3</v>
      </c>
    </row>
    <row r="3" spans="1:10" ht="17.25" thickBot="1" x14ac:dyDescent="0.25">
      <c r="A3" s="1" t="s">
        <v>20</v>
      </c>
      <c r="B3" s="4">
        <v>23600</v>
      </c>
      <c r="C3" s="4">
        <f t="shared" ref="C3:C10" si="0">B3-D3</f>
        <v>22842</v>
      </c>
      <c r="D3" s="4">
        <v>758</v>
      </c>
      <c r="E3" s="13">
        <f t="shared" ref="E3:E10" si="1">D3/B3</f>
        <v>3.211864406779661E-2</v>
      </c>
      <c r="F3" s="1" t="s">
        <v>20</v>
      </c>
      <c r="G3" s="4">
        <v>10233</v>
      </c>
      <c r="H3" s="4">
        <f t="shared" ref="H3:H10" si="2">G3-I3</f>
        <v>9875</v>
      </c>
      <c r="I3" s="4">
        <v>358</v>
      </c>
      <c r="J3" s="13">
        <f t="shared" ref="J3:J10" si="3">I3/G3</f>
        <v>3.4984852926805435E-2</v>
      </c>
    </row>
    <row r="4" spans="1:10" ht="17.25" thickBot="1" x14ac:dyDescent="0.25">
      <c r="A4" s="1" t="s">
        <v>21</v>
      </c>
      <c r="B4" s="4">
        <v>11290</v>
      </c>
      <c r="C4" s="4">
        <f t="shared" si="0"/>
        <v>11090</v>
      </c>
      <c r="D4" s="4">
        <v>200</v>
      </c>
      <c r="E4" s="13">
        <f t="shared" si="1"/>
        <v>1.771479185119575E-2</v>
      </c>
      <c r="F4" s="1" t="s">
        <v>21</v>
      </c>
      <c r="G4" s="4">
        <v>4208</v>
      </c>
      <c r="H4" s="4">
        <f t="shared" si="2"/>
        <v>3963</v>
      </c>
      <c r="I4" s="4">
        <v>245</v>
      </c>
      <c r="J4" s="13">
        <f t="shared" si="3"/>
        <v>5.8222433460076044E-2</v>
      </c>
    </row>
    <row r="5" spans="1:10" ht="17.25" thickBot="1" x14ac:dyDescent="0.25">
      <c r="A5" s="1" t="s">
        <v>22</v>
      </c>
      <c r="B5" s="4">
        <v>1200</v>
      </c>
      <c r="C5" s="4">
        <f t="shared" si="0"/>
        <v>1050</v>
      </c>
      <c r="D5" s="4">
        <v>150</v>
      </c>
      <c r="E5" s="13">
        <f t="shared" si="1"/>
        <v>0.125</v>
      </c>
      <c r="F5" s="1" t="s">
        <v>22</v>
      </c>
      <c r="G5" s="4">
        <v>7880</v>
      </c>
      <c r="H5" s="4">
        <f t="shared" si="2"/>
        <v>7880</v>
      </c>
      <c r="I5" s="4">
        <v>0</v>
      </c>
      <c r="J5" s="13">
        <f t="shared" si="3"/>
        <v>0</v>
      </c>
    </row>
    <row r="6" spans="1:10" ht="17.25" thickBot="1" x14ac:dyDescent="0.25">
      <c r="A6" s="1" t="s">
        <v>23</v>
      </c>
      <c r="B6" s="4">
        <v>14300</v>
      </c>
      <c r="C6" s="4">
        <f t="shared" si="0"/>
        <v>13880</v>
      </c>
      <c r="D6" s="4">
        <v>420</v>
      </c>
      <c r="E6" s="13">
        <f t="shared" si="1"/>
        <v>2.937062937062937E-2</v>
      </c>
      <c r="F6" s="1" t="s">
        <v>23</v>
      </c>
      <c r="G6" s="4">
        <v>9150</v>
      </c>
      <c r="H6" s="4">
        <f t="shared" si="2"/>
        <v>8995</v>
      </c>
      <c r="I6" s="4">
        <v>155</v>
      </c>
      <c r="J6" s="13">
        <f t="shared" si="3"/>
        <v>1.6939890710382512E-2</v>
      </c>
    </row>
    <row r="7" spans="1:10" ht="17.25" thickBot="1" x14ac:dyDescent="0.25">
      <c r="A7" s="1" t="s">
        <v>24</v>
      </c>
      <c r="B7" s="4">
        <v>6850</v>
      </c>
      <c r="C7" s="4">
        <f t="shared" si="0"/>
        <v>6814</v>
      </c>
      <c r="D7" s="4">
        <v>36</v>
      </c>
      <c r="E7" s="13">
        <f t="shared" si="1"/>
        <v>5.2554744525547441E-3</v>
      </c>
      <c r="F7" s="1" t="s">
        <v>24</v>
      </c>
      <c r="G7" s="4">
        <v>7044</v>
      </c>
      <c r="H7" s="4">
        <f t="shared" si="2"/>
        <v>6524</v>
      </c>
      <c r="I7" s="4">
        <v>520</v>
      </c>
      <c r="J7" s="13">
        <f t="shared" si="3"/>
        <v>7.382169222032936E-2</v>
      </c>
    </row>
    <row r="8" spans="1:10" ht="17.25" thickBot="1" x14ac:dyDescent="0.25">
      <c r="A8" s="1" t="s">
        <v>25</v>
      </c>
      <c r="B8" s="4">
        <v>19895</v>
      </c>
      <c r="C8" s="4">
        <f t="shared" si="0"/>
        <v>19127</v>
      </c>
      <c r="D8" s="4">
        <v>768</v>
      </c>
      <c r="E8" s="13">
        <f t="shared" si="1"/>
        <v>3.8602663985926114E-2</v>
      </c>
      <c r="F8" s="1" t="s">
        <v>25</v>
      </c>
      <c r="G8" s="4">
        <v>3000</v>
      </c>
      <c r="H8" s="4">
        <f t="shared" si="2"/>
        <v>2816</v>
      </c>
      <c r="I8" s="4">
        <v>184</v>
      </c>
      <c r="J8" s="13">
        <f t="shared" si="3"/>
        <v>6.133333333333333E-2</v>
      </c>
    </row>
    <row r="9" spans="1:10" ht="17.25" thickBot="1" x14ac:dyDescent="0.25">
      <c r="A9" s="1" t="s">
        <v>26</v>
      </c>
      <c r="B9" s="5">
        <v>450</v>
      </c>
      <c r="C9" s="4">
        <f t="shared" si="0"/>
        <v>0</v>
      </c>
      <c r="D9" s="4">
        <v>450</v>
      </c>
      <c r="E9" s="13">
        <f t="shared" si="1"/>
        <v>1</v>
      </c>
      <c r="F9" s="1" t="s">
        <v>26</v>
      </c>
      <c r="G9" s="4">
        <v>102</v>
      </c>
      <c r="H9" s="4">
        <f t="shared" si="2"/>
        <v>0</v>
      </c>
      <c r="I9" s="4">
        <v>102</v>
      </c>
      <c r="J9" s="13">
        <f t="shared" si="3"/>
        <v>1</v>
      </c>
    </row>
    <row r="10" spans="1:10" ht="17.25" thickBot="1" x14ac:dyDescent="0.25">
      <c r="A10" s="1" t="s">
        <v>27</v>
      </c>
      <c r="B10" s="4">
        <v>22200</v>
      </c>
      <c r="C10" s="4">
        <f t="shared" si="0"/>
        <v>22200</v>
      </c>
      <c r="D10" s="4">
        <v>0</v>
      </c>
      <c r="E10" s="13">
        <f t="shared" si="1"/>
        <v>0</v>
      </c>
      <c r="F10" s="1" t="s">
        <v>27</v>
      </c>
      <c r="G10" s="4">
        <v>3850</v>
      </c>
      <c r="H10" s="4">
        <f t="shared" si="2"/>
        <v>3850</v>
      </c>
      <c r="I10" s="4">
        <v>0</v>
      </c>
      <c r="J10" s="13">
        <f t="shared" si="3"/>
        <v>0</v>
      </c>
    </row>
    <row r="11" spans="1:10" ht="17.25" thickBot="1" x14ac:dyDescent="0.3"/>
    <row r="12" spans="1:10" ht="17.25" thickBot="1" x14ac:dyDescent="0.25">
      <c r="D12" s="4">
        <f>SUM(D2:D10)</f>
        <v>2940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工作表2</vt:lpstr>
      <vt:lpstr>工作表3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p179</dc:creator>
  <cp:lastModifiedBy>sgchen</cp:lastModifiedBy>
  <dcterms:created xsi:type="dcterms:W3CDTF">2025-07-22T06:25:39Z</dcterms:created>
  <dcterms:modified xsi:type="dcterms:W3CDTF">2025-07-31T07:43:56Z</dcterms:modified>
</cp:coreProperties>
</file>